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A531E40CC6BEAED5/Documents/"/>
    </mc:Choice>
  </mc:AlternateContent>
  <xr:revisionPtr revIDLastSave="171" documentId="8_{79464355-D9C2-4A11-A874-AB3FC51BE0F8}" xr6:coauthVersionLast="47" xr6:coauthVersionMax="47" xr10:uidLastSave="{297B2B16-A0D2-4A62-9E10-00D2F18A4C01}"/>
  <bookViews>
    <workbookView xWindow="-108" yWindow="-108" windowWidth="23256" windowHeight="12456"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 r="G10" i="1"/>
  <c r="G39" i="1"/>
  <c r="G40" i="1"/>
  <c r="G37" i="1"/>
  <c r="G22" i="1"/>
  <c r="G16" i="1"/>
  <c r="G14" i="1"/>
  <c r="G25" i="1"/>
  <c r="G31" i="1"/>
  <c r="G11" i="1"/>
  <c r="G9" i="1"/>
  <c r="G18" i="1" l="1"/>
  <c r="G20" i="1" s="1"/>
  <c r="G23" i="1" s="1"/>
  <c r="G27" i="1"/>
  <c r="G29" i="1" s="1"/>
  <c r="G32" i="1" s="1"/>
  <c r="G4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<sst xmlns="http://schemas.openxmlformats.org/spreadsheetml/2006/main" count="118" uniqueCount="59">
  <si>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</si>
  <si>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</si>
  <si>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</si>
  <si>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</si>
  <si>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</si>
  <si>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</si>
  <si>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</si>
  <si>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</si>
  <si>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</si>
  <si>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</si>
  <si>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</si>
  <si>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</si>
  <si>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</si>
  <si>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</si>
  <si>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5V regulator</t>
  </si>
  <si>
    <t>B. Assign each major component above to ONE power rail below. Try to minimize the number of different power rails in the design. 
Add additional power rails or change the power rail voltages if needed.</t>
  </si>
  <si>
    <t xml:space="preserve">Subtotal </t>
  </si>
  <si>
    <t>Safety Margin</t>
  </si>
  <si>
    <t>c1. Regulator or Source Choice</t>
  </si>
  <si>
    <t xml:space="preserve"> +5V Power Rail</t>
  </si>
  <si>
    <t>Total Current Required on +5V Rail</t>
  </si>
  <si>
    <t>c2. Regulator or Source Choice</t>
  </si>
  <si>
    <t>Total Remaining Current Available on +5V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</si>
  <si>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</si>
  <si>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</si>
  <si>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</si>
  <si>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</si>
  <si>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</si>
  <si>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</si>
  <si>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Power Rails Connected to External Power Source 1</t>
  </si>
  <si>
    <t>Total Remaining Current Available on External Power Source 1</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</si>
  <si>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</si>
  <si>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</si>
  <si>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</si>
  <si>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Team 201</t>
  </si>
  <si>
    <t>Jacob Alger, Raunak Singh Chhabra, Isaiah Johnston, Rylee Wirt</t>
  </si>
  <si>
    <t>Power Budget for Light Sensor - Jacob Alger</t>
  </si>
  <si>
    <t>MCP6002-E/P</t>
  </si>
  <si>
    <t xml:space="preserve">PIC18F57Q43 </t>
  </si>
  <si>
    <t>Curiosity Nano Board</t>
  </si>
  <si>
    <t>Op-Amp</t>
  </si>
  <si>
    <t xml:space="preserve"> 1.8V to 5.5V</t>
  </si>
  <si>
    <t xml:space="preserve"> 1.8V to 6V</t>
  </si>
  <si>
    <t xml:space="preserve"> +9V Power Rail</t>
  </si>
  <si>
    <t>Total Current Required on +9V Rail</t>
  </si>
  <si>
    <t>Total Remaining Current Available on +9V Rail</t>
  </si>
  <si>
    <t>7V to 35V</t>
  </si>
  <si>
    <t>PJ-102AH</t>
  </si>
  <si>
    <t>DC Power Jack</t>
  </si>
  <si>
    <t>24V</t>
  </si>
  <si>
    <t>B09ZTKTLGW</t>
  </si>
  <si>
    <t>9V</t>
  </si>
  <si>
    <t>5V</t>
  </si>
  <si>
    <t>110VAC</t>
  </si>
  <si>
    <t>Garden Buddy</t>
  </si>
  <si>
    <t>MC7805CT-BP</t>
  </si>
  <si>
    <t>Photoresistor</t>
  </si>
  <si>
    <t>NSL-5152</t>
  </si>
  <si>
    <t>100V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</si>
</sst>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color rgb="FF000000"/>
      <name val="Arial"/>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s>
  <cellStyleXfs count="1">
    <xf numFmtId="0" fontId="0" fillId="0" borderId="0"/>
  </cellStyleXfs>
  <cellXfs count="64">
    <xf numFmtId="0" fontId="0" fillId="0" borderId="0" xfId="0"/>
    <xf numFmtId="0" fontId="2"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49" fontId="6" fillId="0" borderId="0" xfId="0" applyNumberFormat="1" applyFont="1" applyAlignment="1">
      <alignment horizontal="center"/>
    </xf>
    <xf numFmtId="0" fontId="4" fillId="0" borderId="0" xfId="0" applyFont="1" applyAlignment="1">
      <alignment horizontal="center"/>
    </xf>
    <xf numFmtId="0" fontId="5" fillId="3" borderId="10" xfId="0" applyFont="1" applyFill="1" applyBorder="1"/>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3" xfId="0" applyFont="1" applyBorder="1" applyAlignment="1">
      <alignment horizontal="left"/>
    </xf>
    <xf numFmtId="0" fontId="4" fillId="0" borderId="8" xfId="0" applyFont="1" applyBorder="1" applyAlignment="1">
      <alignment horizontal="center"/>
    </xf>
    <xf numFmtId="0" fontId="6" fillId="0" borderId="13" xfId="0" applyFont="1" applyBorder="1"/>
    <xf numFmtId="0" fontId="4" fillId="0" borderId="9" xfId="0" applyFont="1" applyBorder="1" applyAlignment="1">
      <alignment horizontal="center"/>
    </xf>
    <xf numFmtId="0" fontId="4" fillId="0" borderId="13" xfId="0" applyFont="1" applyBorder="1" applyAlignment="1">
      <alignment horizontal="center"/>
    </xf>
    <xf numFmtId="0" fontId="0" fillId="2" borderId="0" xfId="0" applyFill="1"/>
    <xf numFmtId="0" fontId="1" fillId="0" borderId="0" xfId="0" applyFont="1" applyAlignment="1">
      <alignment horizontal="center"/>
    </xf>
    <xf numFmtId="0" fontId="0" fillId="0" borderId="0" xfId="0"/>
    <xf numFmtId="0" fontId="5" fillId="2" borderId="2" xfId="0" applyFont="1" applyFill="1" applyBorder="1" applyAlignment="1">
      <alignment wrapText="1"/>
    </xf>
    <xf numFmtId="0" fontId="3" fillId="0" borderId="3" xfId="0" applyFont="1" applyBorder="1"/>
    <xf numFmtId="0" fontId="3" fillId="0" borderId="4" xfId="0" applyFont="1" applyBorder="1"/>
    <xf numFmtId="0" fontId="5" fillId="2" borderId="10" xfId="0" applyFont="1" applyFill="1" applyBorder="1" applyAlignment="1">
      <alignment wrapText="1"/>
    </xf>
    <xf numFmtId="0" fontId="5" fillId="2" borderId="14" xfId="0" applyFont="1" applyFill="1" applyBorder="1" applyAlignment="1">
      <alignment wrapText="1"/>
    </xf>
    <xf numFmtId="0" fontId="5" fillId="2" borderId="4" xfId="0" applyFont="1" applyFill="1" applyBorder="1" applyAlignment="1">
      <alignment wrapText="1"/>
    </xf>
    <xf numFmtId="0" fontId="7" fillId="0" borderId="0" xfId="0" applyFont="1" applyAlignment="1">
      <alignment horizontal="right"/>
    </xf>
    <xf numFmtId="49" fontId="5" fillId="0" borderId="12" xfId="0" applyNumberFormat="1" applyFont="1" applyBorder="1" applyAlignment="1">
      <alignment horizontal="right"/>
    </xf>
    <xf numFmtId="0" fontId="3" fillId="0" borderId="12" xfId="0" applyFont="1" applyBorder="1"/>
    <xf numFmtId="0" fontId="5" fillId="0" borderId="0" xfId="0" applyFont="1" applyAlignment="1">
      <alignment horizontal="right"/>
    </xf>
    <xf numFmtId="0" fontId="8" fillId="4" borderId="0" xfId="0" applyFont="1" applyFill="1" applyAlignment="1">
      <alignment horizontal="left" wrapText="1"/>
    </xf>
    <xf numFmtId="0" fontId="6" fillId="0" borderId="0" xfId="0" applyFont="1" applyAlignment="1">
      <alignment wrapText="1"/>
    </xf>
    <xf numFmtId="0" fontId="5" fillId="2" borderId="0" xfId="0" applyFont="1" applyFill="1"/>
    <xf numFmtId="0" fontId="3" fillId="0" borderId="1" xfId="0" applyFont="1" applyBorder="1" applyAlignment="1">
      <alignment horizontal="center"/>
    </xf>
    <xf numFmtId="0" fontId="2" fillId="0" borderId="1" xfId="0" applyFont="1" applyBorder="1" applyAlignment="1">
      <alignment horizontal="center"/>
    </xf>
    <xf numFmtId="0" fontId="5" fillId="0" borderId="10" xfId="0" applyFont="1" applyBorder="1" applyAlignment="1">
      <alignment wrapText="1"/>
    </xf>
    <xf numFmtId="0" fontId="5" fillId="0" borderId="14" xfId="0" applyFont="1" applyBorder="1" applyAlignment="1">
      <alignment wrapText="1"/>
    </xf>
    <xf numFmtId="0" fontId="5" fillId="0" borderId="4" xfId="0" applyFont="1" applyBorder="1" applyAlignment="1">
      <alignment wrapText="1"/>
    </xf>
    <xf numFmtId="0" fontId="4" fillId="0" borderId="8" xfId="0" applyFont="1" applyBorder="1" applyAlignment="1">
      <alignment horizontal="left" vertical="center" wrapText="1"/>
    </xf>
    <xf numFmtId="49" fontId="5" fillId="0" borderId="15" xfId="0" applyNumberFormat="1" applyFont="1" applyBorder="1" applyAlignment="1">
      <alignment horizontal="right"/>
    </xf>
    <xf numFmtId="49" fontId="5" fillId="0" borderId="13" xfId="0" applyNumberFormat="1" applyFont="1" applyBorder="1" applyAlignment="1">
      <alignment horizontal="right"/>
    </xf>
    <xf numFmtId="0" fontId="7" fillId="0" borderId="15" xfId="0" applyFont="1" applyBorder="1" applyAlignment="1">
      <alignment horizontal="right"/>
    </xf>
    <xf numFmtId="0" fontId="7" fillId="0" borderId="13" xfId="0" applyFont="1" applyBorder="1" applyAlignment="1">
      <alignment horizontal="right"/>
    </xf>
    <xf numFmtId="0" fontId="5" fillId="0" borderId="15" xfId="0" applyFont="1" applyBorder="1" applyAlignment="1">
      <alignment horizontal="right"/>
    </xf>
    <xf numFmtId="0" fontId="5" fillId="0" borderId="13" xfId="0" applyFont="1" applyBorder="1" applyAlignment="1">
      <alignment horizontal="right"/>
    </xf>
  </cellXfs>
  <cellStyles count="1">
    <cellStyle name="Normal" xfId="0" builtinId="0"/>
  </cellStyles>
  <dxfs count="2">
    <dxf>
      <font>
        <color rgb="FF000000"/>
      </font>
      <fill>
        <patternFill patternType="solid">
          <fgColor rgb="FFF4CCCC"/>
          <bgColor rgb="FFF4CCCC"/>
        </patternFill>
      </fill>
    </dxf>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81"/>
  <sheetViews>
    <sheetView tabSelected="1" topLeftCell="A21" workbookViewId="0">
      <selection activeCell="J65" sqref="J65"/>
    </sheetView>
  </sheetViews>
  <sheetFormatPr defaultColWidth="13.3984375" defaultRowHeight="15.75" customHeight="1" x14ac:dyDescent="0.3"/>
  <cols>
    <col min="1" max="1" width="30.3984375" customWidth="1"/>
    <col min="2" max="2" width="23.09765625" customWidth="1"/>
    <col min="3" max="3" width="13.69921875" customWidth="1"/>
    <col min="4" max="4" width="24.8984375" customWidth="1"/>
    <col min="5" max="5" width="15" customWidth="1"/>
    <col min="6" max="6" width="33.296875" customWidth="1"/>
    <col min="7" max="7" width="25.3984375" customWidth="1"/>
    <col min="8" max="8" width="5.09765625" customWidth="1"/>
  </cols>
  <sheetData>
    <row r="1" spans="1:8" ht="30" customHeight="1" x14ac:dyDescent="0.6">
      <c r="A1" s="37" t="s">
        <v>36</v>
      </c>
      <c r="B1" s="38"/>
      <c r="C1" s="38"/>
      <c r="D1" s="38"/>
      <c r="E1" s="38"/>
      <c r="F1" s="38"/>
      <c r="G1" s="38"/>
      <c r="H1" s="38"/>
    </row>
    <row r="2" spans="1:8" ht="15" customHeight="1" x14ac:dyDescent="0.3">
      <c r="A2" s="1" t="s">
        <v>0</v>
      </c>
      <c r="B2" s="52" t="s">
        <v>34</v>
      </c>
      <c r="C2" s="52"/>
      <c r="D2" s="52"/>
      <c r="E2" s="2"/>
    </row>
    <row r="3" spans="1:8" ht="15" customHeight="1" x14ac:dyDescent="0.3">
      <c r="A3" s="3" t="s">
        <v>1</v>
      </c>
      <c r="B3" s="53" t="s">
        <v>54</v>
      </c>
      <c r="C3" s="53"/>
      <c r="D3" s="53"/>
      <c r="E3" s="2"/>
      <c r="F3" s="4"/>
      <c r="G3" s="4"/>
      <c r="H3" s="4"/>
    </row>
    <row r="4" spans="1:8" ht="15" customHeight="1" x14ac:dyDescent="0.3">
      <c r="A4" s="3" t="s">
        <v>2</v>
      </c>
      <c r="B4" s="53" t="s">
        <v>35</v>
      </c>
      <c r="C4" s="53"/>
      <c r="D4" s="53"/>
      <c r="E4" s="2"/>
      <c r="F4" s="4"/>
      <c r="G4" s="4"/>
      <c r="H4" s="4"/>
    </row>
    <row r="5" spans="1:8" ht="15" customHeight="1" x14ac:dyDescent="0.3">
      <c r="A5" s="3" t="s">
        <v>3</v>
      </c>
      <c r="B5" s="53">
        <v>3</v>
      </c>
      <c r="C5" s="53"/>
      <c r="D5" s="53"/>
      <c r="E5" s="2"/>
      <c r="F5" s="4"/>
      <c r="G5" s="4"/>
      <c r="H5" s="4"/>
    </row>
    <row r="6" spans="1:8" ht="15" customHeight="1" x14ac:dyDescent="0.3">
      <c r="A6" s="5"/>
      <c r="B6" s="4"/>
      <c r="C6" s="4"/>
      <c r="D6" s="2"/>
      <c r="E6" s="2"/>
      <c r="F6" s="4"/>
      <c r="G6" s="4"/>
      <c r="H6" s="4"/>
    </row>
    <row r="7" spans="1:8" ht="15" customHeight="1" x14ac:dyDescent="0.3">
      <c r="A7" s="39" t="s">
        <v>4</v>
      </c>
      <c r="B7" s="40"/>
      <c r="C7" s="40"/>
      <c r="D7" s="40"/>
      <c r="E7" s="40"/>
      <c r="F7" s="40"/>
      <c r="G7" s="40"/>
      <c r="H7" s="41"/>
    </row>
    <row r="8" spans="1:8" ht="15" customHeight="1" x14ac:dyDescent="0.3">
      <c r="A8" s="6" t="s">
        <v>5</v>
      </c>
      <c r="B8" s="7" t="s">
        <v>6</v>
      </c>
      <c r="C8" s="7" t="s">
        <v>7</v>
      </c>
      <c r="D8" s="8" t="s">
        <v>8</v>
      </c>
      <c r="E8" s="8" t="s">
        <v>9</v>
      </c>
      <c r="F8" s="9" t="s">
        <v>10</v>
      </c>
      <c r="G8" s="10" t="s">
        <v>11</v>
      </c>
      <c r="H8" s="10" t="s">
        <v>12</v>
      </c>
    </row>
    <row r="9" spans="1:8" ht="15" customHeight="1" x14ac:dyDescent="0.3">
      <c r="A9" s="11"/>
      <c r="B9" t="s">
        <v>39</v>
      </c>
      <c r="C9" t="s">
        <v>38</v>
      </c>
      <c r="D9" s="12" t="s">
        <v>41</v>
      </c>
      <c r="E9" s="13">
        <v>1</v>
      </c>
      <c r="F9">
        <v>500</v>
      </c>
      <c r="G9" s="14">
        <f t="shared" ref="G9:G11" si="0">E9*F9</f>
        <v>500</v>
      </c>
      <c r="H9" s="15" t="s">
        <v>13</v>
      </c>
    </row>
    <row r="10" spans="1:8" ht="15" customHeight="1" x14ac:dyDescent="0.3">
      <c r="A10" s="11"/>
      <c r="B10" t="s">
        <v>56</v>
      </c>
      <c r="C10" t="s">
        <v>57</v>
      </c>
      <c r="D10" s="12" t="s">
        <v>58</v>
      </c>
      <c r="E10" s="13">
        <v>1</v>
      </c>
      <c r="F10">
        <v>0.5</v>
      </c>
      <c r="G10" s="14">
        <f t="shared" si="0"/>
        <v>0.5</v>
      </c>
      <c r="H10" s="15" t="s">
        <v>13</v>
      </c>
    </row>
    <row r="11" spans="1:8" ht="15" customHeight="1" x14ac:dyDescent="0.3">
      <c r="A11" s="11"/>
      <c r="B11" t="s">
        <v>40</v>
      </c>
      <c r="C11" t="s">
        <v>37</v>
      </c>
      <c r="D11" s="12" t="s">
        <v>42</v>
      </c>
      <c r="E11" s="13">
        <v>1</v>
      </c>
      <c r="F11">
        <v>300</v>
      </c>
      <c r="G11" s="14">
        <f t="shared" si="0"/>
        <v>300</v>
      </c>
      <c r="H11" s="15" t="s">
        <v>13</v>
      </c>
    </row>
    <row r="12" spans="1:8" ht="15" customHeight="1" x14ac:dyDescent="0.3">
      <c r="A12" s="39" t="s">
        <v>15</v>
      </c>
      <c r="B12" s="40"/>
      <c r="C12" s="40"/>
      <c r="D12" s="40"/>
      <c r="E12" s="40"/>
      <c r="F12" s="40"/>
      <c r="G12" s="40"/>
      <c r="H12" s="41"/>
    </row>
    <row r="13" spans="1:8" ht="15" customHeight="1" x14ac:dyDescent="0.3">
      <c r="A13" s="19" t="s">
        <v>19</v>
      </c>
      <c r="B13" s="7" t="s">
        <v>6</v>
      </c>
      <c r="C13" s="7" t="s">
        <v>7</v>
      </c>
      <c r="D13" s="8" t="s">
        <v>8</v>
      </c>
      <c r="E13" s="8" t="s">
        <v>9</v>
      </c>
      <c r="F13" s="9" t="s">
        <v>10</v>
      </c>
      <c r="G13" s="27" t="s">
        <v>11</v>
      </c>
      <c r="H13" s="27" t="s">
        <v>12</v>
      </c>
    </row>
    <row r="14" spans="1:8" ht="15" customHeight="1" x14ac:dyDescent="0.3">
      <c r="A14" s="11"/>
      <c r="B14" t="s">
        <v>39</v>
      </c>
      <c r="C14" t="s">
        <v>38</v>
      </c>
      <c r="D14" s="12" t="s">
        <v>41</v>
      </c>
      <c r="E14" s="13">
        <v>1</v>
      </c>
      <c r="F14">
        <v>500</v>
      </c>
      <c r="G14" s="14">
        <f t="shared" ref="G14:G16" si="1">E14*F14</f>
        <v>500</v>
      </c>
      <c r="H14" s="15" t="s">
        <v>13</v>
      </c>
    </row>
    <row r="15" spans="1:8" ht="15" customHeight="1" x14ac:dyDescent="0.3">
      <c r="A15" s="11"/>
      <c r="B15" t="s">
        <v>56</v>
      </c>
      <c r="C15" t="s">
        <v>57</v>
      </c>
      <c r="D15" s="12" t="s">
        <v>58</v>
      </c>
      <c r="E15" s="13">
        <v>1</v>
      </c>
      <c r="F15">
        <v>0.5</v>
      </c>
      <c r="G15" s="14">
        <f t="shared" si="1"/>
        <v>0.5</v>
      </c>
      <c r="H15" s="15" t="s">
        <v>13</v>
      </c>
    </row>
    <row r="16" spans="1:8" ht="15" customHeight="1" x14ac:dyDescent="0.3">
      <c r="A16" s="11"/>
      <c r="B16" t="s">
        <v>40</v>
      </c>
      <c r="C16" t="s">
        <v>37</v>
      </c>
      <c r="D16" s="12" t="s">
        <v>42</v>
      </c>
      <c r="E16" s="13">
        <v>1</v>
      </c>
      <c r="F16">
        <v>300</v>
      </c>
      <c r="G16" s="14">
        <f t="shared" si="1"/>
        <v>300</v>
      </c>
      <c r="H16" s="15" t="s">
        <v>13</v>
      </c>
    </row>
    <row r="17" spans="1:8" ht="15" customHeight="1" x14ac:dyDescent="0.3">
      <c r="A17" s="11"/>
      <c r="D17" s="13"/>
      <c r="E17" s="13"/>
      <c r="G17" s="14"/>
      <c r="H17" s="15"/>
    </row>
    <row r="18" spans="1:8" ht="15" customHeight="1" x14ac:dyDescent="0.3">
      <c r="A18" s="11"/>
      <c r="B18" s="45" t="s">
        <v>16</v>
      </c>
      <c r="C18" s="38"/>
      <c r="D18" s="38"/>
      <c r="E18" s="38"/>
      <c r="F18" s="38"/>
      <c r="G18" s="14">
        <f>SUM(G14:G17)</f>
        <v>800.5</v>
      </c>
      <c r="H18" s="15" t="s">
        <v>13</v>
      </c>
    </row>
    <row r="19" spans="1:8" ht="15" customHeight="1" x14ac:dyDescent="0.3">
      <c r="A19" s="11"/>
      <c r="B19" s="45" t="s">
        <v>17</v>
      </c>
      <c r="C19" s="38"/>
      <c r="D19" s="38"/>
      <c r="E19" s="38"/>
      <c r="F19" s="38"/>
      <c r="G19" s="20">
        <v>0.25</v>
      </c>
      <c r="H19" s="20"/>
    </row>
    <row r="20" spans="1:8" ht="15" customHeight="1" x14ac:dyDescent="0.3">
      <c r="A20" s="21"/>
      <c r="B20" s="48" t="s">
        <v>20</v>
      </c>
      <c r="C20" s="38"/>
      <c r="D20" s="38"/>
      <c r="E20" s="38"/>
      <c r="F20" s="38"/>
      <c r="G20" s="14">
        <f>G18*(1+G19)</f>
        <v>1000.625</v>
      </c>
      <c r="H20" s="15" t="s">
        <v>13</v>
      </c>
    </row>
    <row r="21" spans="1:8" ht="15" customHeight="1" x14ac:dyDescent="0.3">
      <c r="A21" s="22"/>
      <c r="B21" s="23"/>
      <c r="C21" s="23"/>
      <c r="D21" s="12"/>
      <c r="E21" s="12"/>
      <c r="F21" s="24"/>
      <c r="G21" s="25"/>
      <c r="H21" s="14"/>
    </row>
    <row r="22" spans="1:8" ht="15" customHeight="1" x14ac:dyDescent="0.3">
      <c r="A22" s="22" t="s">
        <v>21</v>
      </c>
      <c r="B22" t="s">
        <v>14</v>
      </c>
      <c r="C22" s="16" t="s">
        <v>55</v>
      </c>
      <c r="D22" s="17" t="s">
        <v>46</v>
      </c>
      <c r="E22" s="12">
        <v>1</v>
      </c>
      <c r="F22" s="16">
        <v>1500</v>
      </c>
      <c r="G22" s="25">
        <f>E22*F22</f>
        <v>1500</v>
      </c>
      <c r="H22" s="15" t="s">
        <v>13</v>
      </c>
    </row>
    <row r="23" spans="1:8" ht="15" customHeight="1" x14ac:dyDescent="0.3">
      <c r="A23" s="26"/>
      <c r="B23" s="46" t="s">
        <v>22</v>
      </c>
      <c r="C23" s="47"/>
      <c r="D23" s="47"/>
      <c r="E23" s="47"/>
      <c r="F23" s="47"/>
      <c r="G23" s="25">
        <f>G22-G20</f>
        <v>499.375</v>
      </c>
      <c r="H23" s="15" t="s">
        <v>13</v>
      </c>
    </row>
    <row r="24" spans="1:8" ht="15" customHeight="1" x14ac:dyDescent="0.3">
      <c r="A24" s="19" t="s">
        <v>43</v>
      </c>
      <c r="B24" s="7" t="s">
        <v>6</v>
      </c>
      <c r="C24" s="7" t="s">
        <v>7</v>
      </c>
      <c r="D24" s="8" t="s">
        <v>8</v>
      </c>
      <c r="E24" s="8" t="s">
        <v>9</v>
      </c>
      <c r="F24" s="9" t="s">
        <v>10</v>
      </c>
      <c r="G24" s="10" t="s">
        <v>11</v>
      </c>
      <c r="H24" s="10" t="s">
        <v>12</v>
      </c>
    </row>
    <row r="25" spans="1:8" ht="15" customHeight="1" x14ac:dyDescent="0.3">
      <c r="A25" s="11"/>
      <c r="B25" t="s">
        <v>14</v>
      </c>
      <c r="C25" s="16" t="s">
        <v>55</v>
      </c>
      <c r="D25" s="17" t="s">
        <v>46</v>
      </c>
      <c r="E25" s="12">
        <v>1</v>
      </c>
      <c r="F25" s="16">
        <v>1500</v>
      </c>
      <c r="G25" s="14">
        <f t="shared" ref="G25" si="2">E25*F25</f>
        <v>1500</v>
      </c>
      <c r="H25" s="15" t="s">
        <v>13</v>
      </c>
    </row>
    <row r="26" spans="1:8" ht="15.6" x14ac:dyDescent="0.3">
      <c r="A26" s="11"/>
      <c r="D26" s="13"/>
      <c r="E26" s="13"/>
      <c r="G26" s="14"/>
      <c r="H26" s="15"/>
    </row>
    <row r="27" spans="1:8" ht="15.6" x14ac:dyDescent="0.3">
      <c r="A27" s="11"/>
      <c r="B27" s="60" t="s">
        <v>16</v>
      </c>
      <c r="C27" s="60"/>
      <c r="D27" s="60"/>
      <c r="E27" s="60"/>
      <c r="F27" s="61"/>
      <c r="G27" s="14">
        <f>SUM(G25:G26)</f>
        <v>1500</v>
      </c>
      <c r="H27" s="15" t="s">
        <v>13</v>
      </c>
    </row>
    <row r="28" spans="1:8" ht="15.6" x14ac:dyDescent="0.3">
      <c r="A28" s="11"/>
      <c r="B28" s="60" t="s">
        <v>17</v>
      </c>
      <c r="C28" s="60"/>
      <c r="D28" s="60"/>
      <c r="E28" s="60"/>
      <c r="F28" s="61"/>
      <c r="G28" s="20">
        <v>0.25</v>
      </c>
      <c r="H28" s="20"/>
    </row>
    <row r="29" spans="1:8" ht="15" customHeight="1" x14ac:dyDescent="0.3">
      <c r="A29" s="21"/>
      <c r="B29" s="62" t="s">
        <v>44</v>
      </c>
      <c r="C29" s="62"/>
      <c r="D29" s="62"/>
      <c r="E29" s="62"/>
      <c r="F29" s="63"/>
      <c r="G29" s="14">
        <f>G27*(1+G28)</f>
        <v>1875</v>
      </c>
      <c r="H29" s="15" t="s">
        <v>13</v>
      </c>
    </row>
    <row r="30" spans="1:8" ht="15" customHeight="1" x14ac:dyDescent="0.3">
      <c r="A30" s="22"/>
      <c r="B30" s="23"/>
      <c r="C30" s="23"/>
      <c r="D30" s="12"/>
      <c r="E30" s="12"/>
      <c r="F30" s="24"/>
      <c r="G30" s="25"/>
      <c r="H30" s="14"/>
    </row>
    <row r="31" spans="1:8" ht="15.6" x14ac:dyDescent="0.3">
      <c r="A31" s="22" t="s">
        <v>18</v>
      </c>
      <c r="B31" s="23" t="s">
        <v>48</v>
      </c>
      <c r="C31" s="23" t="s">
        <v>47</v>
      </c>
      <c r="D31" s="12" t="s">
        <v>49</v>
      </c>
      <c r="E31" s="12">
        <v>1</v>
      </c>
      <c r="F31" s="24">
        <v>5000</v>
      </c>
      <c r="G31" s="25">
        <f>E31*F31</f>
        <v>5000</v>
      </c>
      <c r="H31" s="15" t="s">
        <v>13</v>
      </c>
    </row>
    <row r="32" spans="1:8" ht="15" customHeight="1" x14ac:dyDescent="0.3">
      <c r="A32" s="26"/>
      <c r="B32" s="46" t="s">
        <v>45</v>
      </c>
      <c r="C32" s="47"/>
      <c r="D32" s="47"/>
      <c r="E32" s="47"/>
      <c r="F32" s="47"/>
      <c r="G32" s="25">
        <f>G31-G29</f>
        <v>3125</v>
      </c>
      <c r="H32" s="15" t="s">
        <v>13</v>
      </c>
    </row>
    <row r="33" spans="1:8" ht="15" customHeight="1" x14ac:dyDescent="0.3">
      <c r="A33" s="42" t="s">
        <v>23</v>
      </c>
      <c r="B33" s="43"/>
      <c r="C33" s="43"/>
      <c r="D33" s="43"/>
      <c r="E33" s="43"/>
      <c r="F33" s="43"/>
      <c r="G33" s="43"/>
      <c r="H33" s="44"/>
    </row>
    <row r="34" spans="1:8" ht="15" customHeight="1" x14ac:dyDescent="0.3">
      <c r="A34" s="54"/>
      <c r="B34" s="55"/>
      <c r="C34" s="55"/>
      <c r="D34" s="55"/>
      <c r="E34" s="55"/>
      <c r="F34" s="55"/>
      <c r="G34" s="55"/>
      <c r="H34" s="56"/>
    </row>
    <row r="35" spans="1:8" ht="15.6" customHeight="1" x14ac:dyDescent="0.3">
      <c r="A35" s="42" t="s">
        <v>24</v>
      </c>
      <c r="B35" s="43"/>
      <c r="C35" s="43"/>
      <c r="D35" s="43"/>
      <c r="E35" s="43"/>
      <c r="F35" s="43"/>
      <c r="G35" s="43"/>
      <c r="H35" s="44"/>
    </row>
    <row r="36" spans="1:8" ht="15" customHeight="1" x14ac:dyDescent="0.3">
      <c r="A36" s="19" t="s">
        <v>25</v>
      </c>
      <c r="B36" s="7" t="s">
        <v>6</v>
      </c>
      <c r="C36" s="7" t="s">
        <v>7</v>
      </c>
      <c r="D36" s="8" t="s">
        <v>8</v>
      </c>
      <c r="E36" s="28" t="s">
        <v>26</v>
      </c>
      <c r="F36" s="9" t="s">
        <v>10</v>
      </c>
      <c r="G36" s="27" t="s">
        <v>11</v>
      </c>
      <c r="H36" s="27" t="s">
        <v>12</v>
      </c>
    </row>
    <row r="37" spans="1:8" ht="15" customHeight="1" x14ac:dyDescent="0.3">
      <c r="A37" s="29" t="s">
        <v>27</v>
      </c>
      <c r="B37" s="23" t="s">
        <v>28</v>
      </c>
      <c r="C37" s="12" t="s">
        <v>50</v>
      </c>
      <c r="D37" s="12" t="s">
        <v>53</v>
      </c>
      <c r="E37" s="12" t="s">
        <v>51</v>
      </c>
      <c r="F37" s="24">
        <v>15000</v>
      </c>
      <c r="G37" s="24">
        <f>F37</f>
        <v>15000</v>
      </c>
      <c r="H37" s="31" t="s">
        <v>13</v>
      </c>
    </row>
    <row r="38" spans="1:8" ht="15" customHeight="1" x14ac:dyDescent="0.3">
      <c r="A38" s="32"/>
      <c r="B38" s="23"/>
      <c r="C38" s="23"/>
      <c r="D38" s="12"/>
      <c r="E38" s="12"/>
      <c r="F38" s="24"/>
      <c r="G38" s="24"/>
      <c r="H38" s="33"/>
    </row>
    <row r="39" spans="1:8" ht="15" customHeight="1" x14ac:dyDescent="0.3">
      <c r="A39" s="57" t="s">
        <v>29</v>
      </c>
      <c r="B39" t="s">
        <v>14</v>
      </c>
      <c r="C39" s="16" t="s">
        <v>55</v>
      </c>
      <c r="D39" s="17" t="s">
        <v>46</v>
      </c>
      <c r="E39" s="12" t="s">
        <v>52</v>
      </c>
      <c r="F39" s="16">
        <v>1500</v>
      </c>
      <c r="G39" s="24">
        <f t="shared" ref="G39:G40" si="3">F39</f>
        <v>1500</v>
      </c>
      <c r="H39" s="15" t="s">
        <v>13</v>
      </c>
    </row>
    <row r="40" spans="1:8" ht="15" customHeight="1" x14ac:dyDescent="0.3">
      <c r="A40" s="57"/>
      <c r="B40" s="23" t="s">
        <v>48</v>
      </c>
      <c r="C40" s="23" t="s">
        <v>47</v>
      </c>
      <c r="D40" s="12" t="s">
        <v>49</v>
      </c>
      <c r="E40" s="12" t="s">
        <v>51</v>
      </c>
      <c r="F40" s="24">
        <v>5000</v>
      </c>
      <c r="G40" s="24">
        <f t="shared" si="3"/>
        <v>5000</v>
      </c>
      <c r="H40" s="15" t="s">
        <v>13</v>
      </c>
    </row>
    <row r="41" spans="1:8" ht="15" customHeight="1" x14ac:dyDescent="0.3">
      <c r="A41" s="32"/>
      <c r="B41" s="58" t="s">
        <v>30</v>
      </c>
      <c r="C41" s="58"/>
      <c r="D41" s="58"/>
      <c r="E41" s="58"/>
      <c r="F41" s="59"/>
      <c r="G41" s="30">
        <f>G37-SUM(G39:G40)</f>
        <v>8500</v>
      </c>
      <c r="H41" s="31" t="s">
        <v>13</v>
      </c>
    </row>
    <row r="42" spans="1:8" ht="15" customHeight="1" x14ac:dyDescent="0.3">
      <c r="A42" s="32"/>
      <c r="B42" s="2"/>
      <c r="C42" s="2"/>
      <c r="D42" s="18"/>
      <c r="E42" s="18"/>
      <c r="F42" s="18"/>
      <c r="G42" s="34"/>
      <c r="H42" s="35"/>
    </row>
    <row r="43" spans="1:8" ht="15" customHeight="1" x14ac:dyDescent="0.3">
      <c r="A43" s="51" t="s">
        <v>31</v>
      </c>
      <c r="B43" s="51"/>
      <c r="C43" s="51"/>
      <c r="D43" s="51"/>
      <c r="E43" s="51"/>
      <c r="F43" s="51"/>
      <c r="G43" s="36"/>
      <c r="H43" s="36"/>
    </row>
    <row r="44" spans="1:8" ht="15" customHeight="1" x14ac:dyDescent="0.3">
      <c r="A44" s="50" t="s">
        <v>32</v>
      </c>
      <c r="B44" s="50"/>
      <c r="C44" s="50"/>
      <c r="D44" s="50"/>
      <c r="E44" s="50"/>
      <c r="F44" s="50"/>
      <c r="G44" s="50"/>
      <c r="H44" s="50"/>
    </row>
    <row r="45" spans="1:8" ht="15" customHeight="1" x14ac:dyDescent="0.3">
      <c r="A45" s="49" t="s">
        <v>33</v>
      </c>
      <c r="B45" s="49"/>
      <c r="C45" s="49"/>
      <c r="D45" s="49"/>
      <c r="E45" s="49"/>
      <c r="F45" s="49"/>
      <c r="G45" s="49"/>
      <c r="H45" s="49"/>
    </row>
    <row r="46" spans="1:8" ht="15" customHeight="1" x14ac:dyDescent="0.3"/>
    <row r="47" spans="1:8" ht="15" customHeight="1" x14ac:dyDescent="0.3"/>
    <row r="48" spans="1:8" ht="15" customHeight="1" x14ac:dyDescent="0.3"/>
    <row r="49" ht="15" customHeight="1" x14ac:dyDescent="0.3"/>
    <row r="50" ht="15" customHeight="1" x14ac:dyDescent="0.3"/>
    <row r="51" ht="15" customHeight="1" x14ac:dyDescent="0.3"/>
    <row r="52" ht="15" customHeight="1" x14ac:dyDescent="0.3"/>
    <row r="53" ht="15" customHeight="1" x14ac:dyDescent="0.3"/>
    <row r="54" ht="15" customHeight="1" x14ac:dyDescent="0.3"/>
    <row r="55" ht="15" customHeight="1" x14ac:dyDescent="0.3"/>
    <row r="56" ht="15" customHeight="1" x14ac:dyDescent="0.3"/>
    <row r="57" ht="15" customHeight="1" x14ac:dyDescent="0.3"/>
    <row r="58" ht="15" customHeight="1" x14ac:dyDescent="0.3"/>
    <row r="59" ht="15" customHeight="1" x14ac:dyDescent="0.3"/>
    <row r="60" ht="15" customHeight="1" x14ac:dyDescent="0.3"/>
    <row r="61" ht="15" customHeight="1" x14ac:dyDescent="0.3"/>
    <row r="62" ht="15" customHeight="1" x14ac:dyDescent="0.3"/>
    <row r="63" ht="15" customHeight="1" x14ac:dyDescent="0.3"/>
    <row r="64" ht="15" customHeight="1" x14ac:dyDescent="0.3"/>
    <row r="65" ht="15" customHeight="1" x14ac:dyDescent="0.3"/>
    <row r="66" ht="15" customHeight="1" x14ac:dyDescent="0.3"/>
    <row r="67" ht="15" customHeight="1" x14ac:dyDescent="0.3"/>
    <row r="68" ht="15" customHeight="1" x14ac:dyDescent="0.3"/>
    <row r="69" ht="15" customHeight="1" x14ac:dyDescent="0.3"/>
    <row r="70" ht="15" customHeight="1" x14ac:dyDescent="0.3"/>
    <row r="71" ht="15" customHeight="1" x14ac:dyDescent="0.3"/>
    <row r="72" ht="15" customHeight="1" x14ac:dyDescent="0.3"/>
    <row r="73" ht="15" customHeight="1" x14ac:dyDescent="0.3"/>
    <row r="74" ht="15" customHeight="1" x14ac:dyDescent="0.3"/>
    <row r="75" ht="15" customHeight="1" x14ac:dyDescent="0.3"/>
    <row r="76" ht="15" customHeight="1" x14ac:dyDescent="0.3"/>
    <row r="77" ht="15" customHeight="1" x14ac:dyDescent="0.3"/>
    <row r="78" ht="15" customHeight="1" x14ac:dyDescent="0.3"/>
    <row r="79" ht="15" customHeight="1" x14ac:dyDescent="0.3"/>
    <row r="80" ht="15" customHeight="1" x14ac:dyDescent="0.3"/>
    <row r="81" ht="15" customHeight="1" x14ac:dyDescent="0.3"/>
  </sheetData>
  <mergeCells count="23">
    <mergeCell ref="A33:H33"/>
    <mergeCell ref="A45:H45"/>
    <mergeCell ref="A44:H44"/>
    <mergeCell ref="A43:F43"/>
    <mergeCell ref="B2:D2"/>
    <mergeCell ref="B3:D3"/>
    <mergeCell ref="B4:D4"/>
    <mergeCell ref="B5:D5"/>
    <mergeCell ref="A34:H34"/>
    <mergeCell ref="A35:H35"/>
    <mergeCell ref="A39:A40"/>
    <mergeCell ref="B41:F41"/>
    <mergeCell ref="B27:F27"/>
    <mergeCell ref="B28:F28"/>
    <mergeCell ref="B29:F29"/>
    <mergeCell ref="B32:F32"/>
    <mergeCell ref="A1:H1"/>
    <mergeCell ref="A7:H7"/>
    <mergeCell ref="A12:H12"/>
    <mergeCell ref="B18:F18"/>
    <mergeCell ref="B19:F19"/>
    <mergeCell ref="B23:F23"/>
    <mergeCell ref="B20:F20"/>
  </mergeCells>
  <conditionalFormatting sqref="G23">
    <cfRule type="cellIs" dxfId="1" priority="1" operator="lessThan">
      <formula>0</formula>
    </cfRule>
  </conditionalFormatting>
  <conditionalFormatting sqref="G32">
    <cfRule type="cellIs" dxfId="0" priority="2" operator="lessThan">
      <formula>0</formula>
    </cfRule>
  </conditionalFormatting>
  <pageMargins left="0.7" right="0.7" top="0.75" bottom="0.75" header="0.3" footer="0.3"/>
  <pageSetup paperSize="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Jacob Alger</cp:lastModifiedBy>
  <cp:lastPrinted>2025-10-25T00:48:41Z</cp:lastPrinted>
  <dcterms:created xsi:type="dcterms:W3CDTF">2025-10-18T21:30:47Z</dcterms:created>
  <dcterms:modified xsi:type="dcterms:W3CDTF">2025-12-08T21:20:40Z</dcterms:modified>
</cp:coreProperties>
</file>